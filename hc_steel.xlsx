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<sst xmlns="http://schemas.openxmlformats.org/spreadsheetml/2006/main" count="45" uniqueCount="13">
  <si>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purchase_date</t>
  </si>
  <si>
    <t>construction_stage</t>
  </si>
  <si>
    <t>steel_type</t>
  </si>
  <si>
    <t>size</t>
  </si>
  <si>
    <t>bundles</t>
  </si>
  <si>
    <t>cost_per_bundle</t>
  </si>
  <si>
    <t>total_weight</t>
  </si>
  <si>
    <t>cost_per_kg</t>
  </si>
  <si>
    <t>total_amount</t>
  </si>
  <si>
    <t>ground_floor</t>
  </si>
  <si>
    <t>Steel</t>
  </si>
  <si>
    <t>bindingwire</t>
  </si>
  <si>
    <t>first_floor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</si>
</sst>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1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22" applyFont="1" applyFill="1" applyBorder="1" applyAlignment="1"/>
    <xf numFmtId="0" fontId="1" fillId="2" borderId="2" xfId="22" applyFont="1" applyFill="1" applyBorder="1" applyAlignment="1"/>
    <xf numFmtId="0" fontId="1" fillId="2" borderId="3" xfId="22" applyFont="1" applyFill="1" applyBorder="1" applyAlignment="1"/>
    <xf numFmtId="58" fontId="0" fillId="3" borderId="4" xfId="0" applyNumberFormat="1" applyFont="1" applyFill="1" applyBorder="1" applyAlignment="1">
      <alignment horizontal="center" vertical="center"/>
    </xf>
    <xf numFmtId="58" fontId="0" fillId="3" borderId="2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/>
    <xf numFmtId="1" fontId="0" fillId="3" borderId="2" xfId="0" applyNumberFormat="1" applyFont="1" applyFill="1" applyBorder="1" applyAlignment="1"/>
    <xf numFmtId="2" fontId="0" fillId="3" borderId="2" xfId="0" applyNumberFormat="1" applyFont="1" applyFill="1" applyBorder="1" applyAlignment="1"/>
    <xf numFmtId="178" fontId="0" fillId="3" borderId="2" xfId="0" applyNumberFormat="1" applyFont="1" applyFill="1" applyBorder="1" applyAlignment="1"/>
    <xf numFmtId="58" fontId="0" fillId="3" borderId="2" xfId="0" applyNumberFormat="1" applyFont="1" applyFill="1" applyBorder="1" applyAlignment="1"/>
    <xf numFmtId="0" fontId="0" fillId="3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L14" sqref="L14"/>
    </sheetView>
  </sheetViews>
  <sheetFormatPr defaultColWidth="8.88888888888889" defaultRowHeight="14.4"/>
  <cols>
    <col min="1" max="1" width="10.2222222222222" style="1"/>
    <col min="2" max="8" width="8.88888888888889" style="1"/>
    <col min="9" max="9" width="12.4444444444444" style="1"/>
    <col min="10" max="16384" width="8.88888888888889" style="1"/>
  </cols>
  <sheetData>
    <row r="1" s="1" customFormat="1" spans="1:9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1" customFormat="1" spans="1:9">
      <c r="A2" s="5">
        <v>46076</v>
      </c>
      <c r="B2" s="6" t="s">
        <v>9</v>
      </c>
      <c r="C2" s="7" t="s">
        <v>10</v>
      </c>
      <c r="D2" s="8">
        <v>8</v>
      </c>
      <c r="E2" s="8">
        <v>12</v>
      </c>
      <c r="F2" s="9">
        <v>45.25</v>
      </c>
      <c r="G2" s="8">
        <f t="shared" ref="G2:G6" si="0">E2*F2</f>
        <v>543</v>
      </c>
      <c r="H2" s="8">
        <v>64</v>
      </c>
      <c r="I2" s="10">
        <f t="shared" ref="I2:I18" si="1">G2*H2</f>
        <v>34752</v>
      </c>
    </row>
    <row r="3" s="1" customFormat="1" spans="1:9">
      <c r="A3" s="5"/>
      <c r="B3" s="6" t="s">
        <v>9</v>
      </c>
      <c r="C3" s="7" t="s">
        <v>10</v>
      </c>
      <c r="D3" s="8">
        <v>10</v>
      </c>
      <c r="E3" s="8">
        <v>16</v>
      </c>
      <c r="F3" s="9">
        <v>48.94</v>
      </c>
      <c r="G3" s="8">
        <f t="shared" si="0"/>
        <v>783.04</v>
      </c>
      <c r="H3" s="8">
        <v>64</v>
      </c>
      <c r="I3" s="10">
        <f t="shared" si="1"/>
        <v>50114.56</v>
      </c>
    </row>
    <row r="4" s="1" customFormat="1" spans="1:9">
      <c r="A4" s="5"/>
      <c r="B4" s="6" t="s">
        <v>9</v>
      </c>
      <c r="C4" s="7" t="s">
        <v>10</v>
      </c>
      <c r="D4" s="8">
        <v>12</v>
      </c>
      <c r="E4" s="8">
        <v>2</v>
      </c>
      <c r="F4" s="9">
        <v>51.5</v>
      </c>
      <c r="G4" s="8">
        <f t="shared" si="0"/>
        <v>103</v>
      </c>
      <c r="H4" s="8">
        <v>64</v>
      </c>
      <c r="I4" s="10">
        <f t="shared" si="1"/>
        <v>6592</v>
      </c>
    </row>
    <row r="5" s="1" customFormat="1" spans="1:9">
      <c r="A5" s="5"/>
      <c r="B5" s="6" t="s">
        <v>9</v>
      </c>
      <c r="C5" s="7" t="s">
        <v>10</v>
      </c>
      <c r="D5" s="8">
        <v>16</v>
      </c>
      <c r="E5" s="8">
        <v>9</v>
      </c>
      <c r="F5" s="9">
        <v>55.11</v>
      </c>
      <c r="G5" s="8">
        <f t="shared" si="0"/>
        <v>495.99</v>
      </c>
      <c r="H5" s="8">
        <v>64</v>
      </c>
      <c r="I5" s="10">
        <f t="shared" si="1"/>
        <v>31743.36</v>
      </c>
    </row>
    <row r="6" s="1" customFormat="1" spans="1:9">
      <c r="A6" s="5"/>
      <c r="B6" s="6" t="s">
        <v>9</v>
      </c>
      <c r="C6" s="7" t="s">
        <v>10</v>
      </c>
      <c r="D6" s="8">
        <v>20</v>
      </c>
      <c r="E6" s="8">
        <v>8</v>
      </c>
      <c r="F6" s="9">
        <v>58.38</v>
      </c>
      <c r="G6" s="8">
        <f t="shared" si="0"/>
        <v>467.04</v>
      </c>
      <c r="H6" s="8">
        <v>64</v>
      </c>
      <c r="I6" s="10">
        <f t="shared" si="1"/>
        <v>29890.56</v>
      </c>
    </row>
    <row r="7" s="1" customFormat="1" spans="1:9">
      <c r="A7" s="5"/>
      <c r="B7" s="6" t="s">
        <v>9</v>
      </c>
      <c r="C7" s="7" t="s">
        <v>11</v>
      </c>
      <c r="D7" s="8"/>
      <c r="E7" s="8">
        <v>1</v>
      </c>
      <c r="F7" s="9"/>
      <c r="G7" s="8"/>
      <c r="H7" s="8">
        <v>80</v>
      </c>
      <c r="I7" s="10">
        <f t="shared" si="1"/>
        <v>0</v>
      </c>
    </row>
    <row r="8" s="1" customFormat="1" spans="1:9">
      <c r="A8" s="11">
        <v>46078</v>
      </c>
      <c r="B8" s="6" t="s">
        <v>9</v>
      </c>
      <c r="C8" s="12" t="s">
        <v>11</v>
      </c>
      <c r="D8" s="8"/>
      <c r="E8" s="8">
        <v>1</v>
      </c>
      <c r="F8" s="9"/>
      <c r="G8" s="8"/>
      <c r="H8" s="8">
        <v>80</v>
      </c>
      <c r="I8" s="10">
        <f t="shared" si="1"/>
        <v>0</v>
      </c>
    </row>
    <row r="9" s="1" customFormat="1" spans="1:9">
      <c r="A9" s="5">
        <v>46076</v>
      </c>
      <c r="B9" s="6" t="s">
        <v>9</v>
      </c>
      <c r="C9" s="7" t="s">
        <v>10</v>
      </c>
      <c r="D9" s="8">
        <v>8</v>
      </c>
      <c r="E9" s="8">
        <v>20</v>
      </c>
      <c r="F9" s="9">
        <v>45.2</v>
      </c>
      <c r="G9" s="8">
        <f t="shared" ref="G9:G13" si="2">E9*F9</f>
        <v>904</v>
      </c>
      <c r="H9" s="8">
        <v>66</v>
      </c>
      <c r="I9" s="10">
        <f t="shared" si="1"/>
        <v>59664</v>
      </c>
    </row>
    <row r="10" s="1" customFormat="1" spans="1:9">
      <c r="A10" s="5"/>
      <c r="B10" s="6" t="s">
        <v>9</v>
      </c>
      <c r="C10" s="7" t="s">
        <v>10</v>
      </c>
      <c r="D10" s="8">
        <v>10</v>
      </c>
      <c r="E10" s="8">
        <v>20</v>
      </c>
      <c r="F10" s="9">
        <v>48.9</v>
      </c>
      <c r="G10" s="8">
        <f t="shared" si="2"/>
        <v>978</v>
      </c>
      <c r="H10" s="8">
        <v>66</v>
      </c>
      <c r="I10" s="10">
        <f t="shared" si="1"/>
        <v>64548</v>
      </c>
    </row>
    <row r="11" s="1" customFormat="1" spans="1:9">
      <c r="A11" s="5"/>
      <c r="B11" s="6" t="s">
        <v>9</v>
      </c>
      <c r="C11" s="7" t="s">
        <v>10</v>
      </c>
      <c r="D11" s="8">
        <v>12</v>
      </c>
      <c r="E11" s="8">
        <v>12</v>
      </c>
      <c r="F11" s="9">
        <v>51.1</v>
      </c>
      <c r="G11" s="8">
        <f t="shared" si="2"/>
        <v>613.2</v>
      </c>
      <c r="H11" s="8">
        <v>66</v>
      </c>
      <c r="I11" s="10">
        <f t="shared" si="1"/>
        <v>40471.2</v>
      </c>
    </row>
    <row r="12" s="1" customFormat="1" spans="1:9">
      <c r="A12" s="5"/>
      <c r="B12" s="6" t="s">
        <v>9</v>
      </c>
      <c r="C12" s="7" t="s">
        <v>10</v>
      </c>
      <c r="D12" s="8">
        <v>16</v>
      </c>
      <c r="E12" s="8">
        <v>35</v>
      </c>
      <c r="F12" s="9">
        <v>55.03</v>
      </c>
      <c r="G12" s="8">
        <f t="shared" si="2"/>
        <v>1926.05</v>
      </c>
      <c r="H12" s="8">
        <v>66</v>
      </c>
      <c r="I12" s="10">
        <f t="shared" si="1"/>
        <v>127119.3</v>
      </c>
    </row>
    <row r="13" s="1" customFormat="1" spans="1:9">
      <c r="A13" s="5"/>
      <c r="B13" s="6" t="s">
        <v>9</v>
      </c>
      <c r="C13" s="7" t="s">
        <v>10</v>
      </c>
      <c r="D13" s="8">
        <v>20</v>
      </c>
      <c r="E13" s="8">
        <v>11</v>
      </c>
      <c r="F13" s="9">
        <v>58.35</v>
      </c>
      <c r="G13" s="8">
        <f t="shared" si="2"/>
        <v>641.85</v>
      </c>
      <c r="H13" s="8">
        <v>66</v>
      </c>
      <c r="I13" s="10">
        <f t="shared" si="1"/>
        <v>42362.1</v>
      </c>
    </row>
    <row r="14" s="1" customFormat="1" spans="1:9">
      <c r="A14" s="11">
        <v>46078</v>
      </c>
      <c r="B14" s="11" t="s">
        <v>9</v>
      </c>
      <c r="C14" s="12" t="s">
        <v>11</v>
      </c>
      <c r="D14" s="8"/>
      <c r="E14" s="8">
        <v>1</v>
      </c>
      <c r="F14" s="9"/>
      <c r="G14" s="8"/>
      <c r="H14" s="8">
        <v>80</v>
      </c>
      <c r="I14" s="10">
        <f t="shared" si="1"/>
        <v>0</v>
      </c>
    </row>
    <row r="15" s="1" customFormat="1" spans="1:9">
      <c r="A15" s="5">
        <v>46151</v>
      </c>
      <c r="B15" s="6" t="s">
        <v>12</v>
      </c>
      <c r="C15" s="7" t="s">
        <v>10</v>
      </c>
      <c r="D15" s="8">
        <v>8</v>
      </c>
      <c r="E15" s="8">
        <v>10</v>
      </c>
      <c r="F15" s="9">
        <v>45.2</v>
      </c>
      <c r="G15" s="8">
        <f t="shared" ref="G15:G18" si="3">E15*F15</f>
        <v>452</v>
      </c>
      <c r="H15" s="8">
        <v>68</v>
      </c>
      <c r="I15" s="10">
        <f t="shared" si="1"/>
        <v>30736</v>
      </c>
    </row>
    <row r="16" s="1" customFormat="1" spans="1:9">
      <c r="A16" s="5"/>
      <c r="B16" s="6" t="s">
        <v>12</v>
      </c>
      <c r="C16" s="7" t="s">
        <v>10</v>
      </c>
      <c r="D16" s="8">
        <v>10</v>
      </c>
      <c r="E16" s="8">
        <v>15</v>
      </c>
      <c r="F16" s="9">
        <v>48.9</v>
      </c>
      <c r="G16" s="8">
        <f t="shared" si="3"/>
        <v>733.5</v>
      </c>
      <c r="H16" s="8">
        <v>68</v>
      </c>
      <c r="I16" s="10">
        <f t="shared" si="1"/>
        <v>49878</v>
      </c>
    </row>
    <row r="17" s="1" customFormat="1" spans="1:9">
      <c r="A17" s="5"/>
      <c r="B17" s="6" t="s">
        <v>12</v>
      </c>
      <c r="C17" s="7" t="s">
        <v>10</v>
      </c>
      <c r="D17" s="8">
        <v>16</v>
      </c>
      <c r="E17" s="8">
        <v>25</v>
      </c>
      <c r="F17" s="9">
        <v>55.03</v>
      </c>
      <c r="G17" s="8">
        <f t="shared" si="3"/>
        <v>1375.75</v>
      </c>
      <c r="H17" s="8">
        <v>68</v>
      </c>
      <c r="I17" s="10">
        <f t="shared" si="1"/>
        <v>93551</v>
      </c>
    </row>
    <row r="18" s="1" customFormat="1" spans="1:9">
      <c r="A18" s="5"/>
      <c r="B18" s="6" t="s">
        <v>12</v>
      </c>
      <c r="C18" s="7" t="s">
        <v>10</v>
      </c>
      <c r="D18" s="8">
        <v>20</v>
      </c>
      <c r="E18" s="8">
        <v>4</v>
      </c>
      <c r="F18" s="9">
        <v>58.35</v>
      </c>
      <c r="G18" s="8">
        <f t="shared" si="3"/>
        <v>233.4</v>
      </c>
      <c r="H18" s="8">
        <v>68</v>
      </c>
      <c r="I18" s="10">
        <f t="shared" si="1"/>
        <v>15871.2</v>
      </c>
    </row>
    <row r="19" s="1" customFormat="1" spans="1:9">
      <c r="A19" s="5"/>
      <c r="B19" s="6" t="s">
        <v>12</v>
      </c>
      <c r="C19" s="7" t="s">
        <v>11</v>
      </c>
      <c r="D19" s="8"/>
      <c r="E19" s="8">
        <v>2</v>
      </c>
      <c r="F19" s="9">
        <v>25</v>
      </c>
      <c r="G19" s="8"/>
      <c r="H19" s="8">
        <v>2000</v>
      </c>
      <c r="I19" s="10">
        <f>E19*H19</f>
        <v>4000</v>
      </c>
    </row>
  </sheetData>
  <mergeCells count="3">
    <mergeCell ref="A2:A7"/>
    <mergeCell ref="A9:A13"/>
    <mergeCell ref="A15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2026-06-09T09:57:03Z</dcterms:created>
  <dcterms:modified xsi:type="dcterms:W3CDTF">2026-06-09T13:31:28Z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42D9373E8FB548559AA1ABF1236245FB_11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