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 activeTab="1"/>
  </bookViews>
  <sheets>
    <sheet name="cement" sheetId="1" r:id="rId1"/>
    <sheet name="ste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<sst xmlns="http://schemas.openxmlformats.org/spreadsheetml/2006/main" count="31" uniqueCount="14">
  <si>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purchase_date</t>
  </si>
  <si>
    <t>company_name</t>
  </si>
  <si>
    <t>construction_stage</t>
  </si>
  <si>
    <t>number_of_bags</t>
  </si>
  <si>
    <t>cost_per_bag</t>
  </si>
  <si>
    <t>total_cement_cost</t>
  </si>
  <si>
    <t>paid_date</t>
  </si>
  <si>
    <t>payment_mode</t>
  </si>
  <si>
    <t>driver_payment</t>
  </si>
  <si>
    <t>total_amount</t>
  </si>
  <si>
    <t xml:space="preserve">RAMCO SUPERCRETE </t>
  </si>
  <si>
    <t>Foundation</t>
  </si>
  <si>
    <t>CASH</t>
  </si>
  <si>
    <t>first_floor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</si>
</sst>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2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22" applyFont="1" applyFill="1" applyBorder="1" applyAlignment="1"/>
    <xf numFmtId="0" fontId="1" fillId="2" borderId="2" xfId="22" applyFont="1" applyFill="1" applyBorder="1" applyAlignment="1"/>
    <xf numFmtId="0" fontId="1" fillId="2" borderId="3" xfId="22" applyFont="1" applyFill="1" applyBorder="1" applyAlignment="1"/>
    <xf numFmtId="0" fontId="2" fillId="0" borderId="0" xfId="0" applyFont="1" applyAlignment="1"/>
    <xf numFmtId="58" fontId="0" fillId="3" borderId="1" xfId="0" applyNumberFormat="1" applyFont="1" applyFill="1" applyBorder="1" applyAlignment="1"/>
    <xf numFmtId="0" fontId="0" fillId="3" borderId="1" xfId="0" applyFont="1" applyFill="1" applyBorder="1" applyAlignment="1"/>
    <xf numFmtId="178" fontId="0" fillId="3" borderId="1" xfId="0" applyNumberFormat="1" applyFont="1" applyFill="1" applyBorder="1" applyAlignment="1"/>
    <xf numFmtId="0" fontId="0" fillId="3" borderId="4" xfId="0" applyFont="1" applyFill="1" applyBorder="1" applyAlignment="1"/>
    <xf numFmtId="178" fontId="0" fillId="3" borderId="3" xfId="0" applyNumberFormat="1" applyFont="1" applyFill="1" applyBorder="1" applyAlignment="1"/>
    <xf numFmtId="58" fontId="0" fillId="3" borderId="5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/>
    </xf>
    <xf numFmtId="58" fontId="0" fillId="3" borderId="6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left" vertical="center"/>
    </xf>
    <xf numFmtId="58" fontId="0" fillId="3" borderId="1" xfId="0" applyNumberFormat="1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zoomScale="72" zoomScaleNormal="72" workbookViewId="0">
      <selection activeCell="M11" sqref="M11"/>
    </sheetView>
  </sheetViews>
  <sheetFormatPr defaultColWidth="8.88888888888889" defaultRowHeight="14.4"/>
  <cols>
    <col min="1" max="1" width="10.2222222222222"/>
    <col min="2" max="2" width="18.1111111111111" customWidth="1"/>
    <col min="3" max="3" width="18.3333333333333" customWidth="1"/>
    <col min="6" max="6" width="11.2222222222222"/>
    <col min="7" max="7" width="10.2222222222222"/>
    <col min="10" max="10" width="11.222222222222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</row>
    <row r="2" spans="1:12">
      <c r="A2" s="5">
        <v>46076</v>
      </c>
      <c r="B2" s="6" t="s">
        <v>10</v>
      </c>
      <c r="C2" s="6" t="s">
        <v>11</v>
      </c>
      <c r="D2" s="6">
        <v>10</v>
      </c>
      <c r="E2" s="6">
        <v>360</v>
      </c>
      <c r="F2" s="7">
        <f>D2*E2</f>
        <v>3600</v>
      </c>
      <c r="G2" s="5">
        <v>46076</v>
      </c>
      <c r="H2" s="8" t="s">
        <v>12</v>
      </c>
      <c r="I2" s="9"/>
      <c r="J2" s="9">
        <f>F2+I2</f>
        <v>3600</v>
      </c>
    </row>
    <row r="3" spans="1:12">
      <c r="A3" s="5">
        <v>46080</v>
      </c>
      <c r="B3" s="6" t="s">
        <v>10</v>
      </c>
      <c r="C3" s="6" t="s">
        <v>11</v>
      </c>
      <c r="D3" s="6">
        <v>30</v>
      </c>
      <c r="E3" s="6">
        <v>355</v>
      </c>
      <c r="F3" s="7">
        <f>D3*E3</f>
        <v>10650</v>
      </c>
      <c r="G3" s="10">
        <v>46084</v>
      </c>
      <c r="H3" s="11" t="s">
        <v>12</v>
      </c>
      <c r="I3" s="9"/>
      <c r="J3" s="9">
        <f>F3+I3</f>
        <v>10650</v>
      </c>
    </row>
    <row r="4" spans="1:12">
      <c r="A4" s="5">
        <v>46083</v>
      </c>
      <c r="B4" s="6" t="s">
        <v>10</v>
      </c>
      <c r="C4" s="6" t="s">
        <v>11</v>
      </c>
      <c r="D4" s="6">
        <v>30</v>
      </c>
      <c r="E4" s="6">
        <v>355</v>
      </c>
      <c r="F4" s="7">
        <f>D4*E4</f>
        <v>10650</v>
      </c>
      <c r="G4" s="12"/>
      <c r="H4" s="13"/>
      <c r="I4" s="9"/>
      <c r="J4" s="9">
        <f>F4+I4</f>
        <v>10650</v>
      </c>
    </row>
    <row r="5" spans="1:12">
      <c r="A5" s="5">
        <v>46087</v>
      </c>
      <c r="B5" s="6" t="s">
        <v>10</v>
      </c>
      <c r="C5" s="6" t="s">
        <v>11</v>
      </c>
      <c r="D5" s="6">
        <v>50</v>
      </c>
      <c r="E5" s="6">
        <v>355</v>
      </c>
      <c r="F5" s="7">
        <f>D5*E5</f>
        <v>17750</v>
      </c>
      <c r="G5" s="14">
        <v>46087</v>
      </c>
      <c r="H5" s="8" t="s">
        <v>12</v>
      </c>
      <c r="I5" s="9"/>
      <c r="J5" s="9">
        <f>F5+I5</f>
        <v>17750</v>
      </c>
    </row>
    <row r="6" spans="1:12">
      <c r="A6" s="5">
        <v>46095</v>
      </c>
      <c r="B6" s="6" t="s">
        <v>10</v>
      </c>
      <c r="C6" s="6" t="s">
        <v>11</v>
      </c>
      <c r="D6" s="6">
        <v>50</v>
      </c>
      <c r="E6" s="6">
        <v>365</v>
      </c>
      <c r="F6" s="7">
        <f>D6*E6</f>
        <v>18250</v>
      </c>
      <c r="G6" s="5">
        <v>46096</v>
      </c>
      <c r="H6" s="8" t="s">
        <v>12</v>
      </c>
      <c r="I6" s="9">
        <v>100</v>
      </c>
      <c r="J6" s="9">
        <f>F6+I6</f>
        <v>18350</v>
      </c>
    </row>
    <row r="7" spans="1:12">
      <c r="A7" s="5">
        <v>46097</v>
      </c>
      <c r="B7" s="6" t="s">
        <v>10</v>
      </c>
      <c r="C7" s="6" t="s">
        <v>11</v>
      </c>
      <c r="D7" s="6">
        <v>50</v>
      </c>
      <c r="E7" s="6">
        <v>365</v>
      </c>
      <c r="F7" s="7">
        <f>D7*E7</f>
        <v>18250</v>
      </c>
      <c r="G7" s="5"/>
      <c r="H7" s="8"/>
      <c r="I7" s="9"/>
      <c r="J7" s="9">
        <f>F7+I7</f>
        <v>18250</v>
      </c>
    </row>
    <row r="8" spans="1:12">
      <c r="A8" s="5">
        <v>46112</v>
      </c>
      <c r="B8" s="6" t="s">
        <v>10</v>
      </c>
      <c r="C8" s="6" t="s">
        <v>11</v>
      </c>
      <c r="D8" s="6">
        <v>130</v>
      </c>
      <c r="E8" s="6">
        <v>365</v>
      </c>
      <c r="F8" s="7">
        <f>D8*E8</f>
        <v>47450</v>
      </c>
      <c r="G8" s="5">
        <v>46112</v>
      </c>
      <c r="H8" s="8" t="s">
        <v>12</v>
      </c>
      <c r="I8" s="9">
        <v>200</v>
      </c>
      <c r="J8" s="9">
        <f>F8+I8</f>
        <v>47650</v>
      </c>
    </row>
    <row r="9" spans="1:12">
      <c r="A9" s="5">
        <v>46152</v>
      </c>
      <c r="B9" s="6" t="s">
        <v>10</v>
      </c>
      <c r="C9" s="6" t="s">
        <v>13</v>
      </c>
      <c r="D9" s="6">
        <v>100</v>
      </c>
      <c r="E9" s="6">
        <v>365</v>
      </c>
      <c r="F9" s="7">
        <f>D9*E9</f>
        <v>36500</v>
      </c>
      <c r="G9" s="5"/>
      <c r="H9" s="8"/>
      <c r="I9" s="9">
        <v>100</v>
      </c>
      <c r="J9" s="9">
        <f>F9+I9</f>
        <v>36600</v>
      </c>
    </row>
    <row r="10" spans="1:12">
      <c r="L10" s="1"/>
    </row>
  </sheetData>
  <mergeCells count="2">
    <mergeCell ref="G3:G4"/>
    <mergeCell ref="H3:H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21" sqref="$A1:$XFD1048576"/>
    </sheetView>
  </sheetViews>
  <sheetFormatPr defaultColWidth="8.88888888888889" defaultRowHeight="14.4"/>
  <cols>
    <col min="1" max="1" width="10.2222222222222"/>
    <col min="9" max="9" width="12.4444444444444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cement</vt:lpstr>
      <vt:lpstr>steel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2026-06-08T13:14:00Z</dcterms:created>
  <dcterms:modified xsi:type="dcterms:W3CDTF">2026-06-09T13:31:31Z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7B153919E4864927A71A9BBDF843DA3D_13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